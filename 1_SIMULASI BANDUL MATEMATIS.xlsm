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IMULASI_SEDERHANA_FISIKA_DASAR\"/>
    </mc:Choice>
  </mc:AlternateContent>
  <xr:revisionPtr revIDLastSave="0" documentId="13_ncr:1_{0DF189C8-2894-4E80-90E2-40AD9777F6DB}" xr6:coauthVersionLast="47" xr6:coauthVersionMax="47" xr10:uidLastSave="{00000000-0000-0000-0000-000000000000}"/>
  <bookViews>
    <workbookView xWindow="-120" yWindow="-120" windowWidth="20730" windowHeight="11160" xr2:uid="{DCF77732-4685-4377-9AC4-EC6E9EC406C5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B11" i="1" s="1"/>
  <c r="B2" i="1" s="1"/>
  <c r="C2" i="1" l="1"/>
</calcChain>
</file>

<file path=xl/sharedStrings.xml><?xml version="1.0" encoding="utf-8"?>
<sst xmlns="http://schemas.openxmlformats.org/spreadsheetml/2006/main" count="13" uniqueCount="13">
  <si>
    <t>x0,yo</t>
  </si>
  <si>
    <t>x,y</t>
  </si>
  <si>
    <t>Sudut Awal=</t>
  </si>
  <si>
    <t>derajat</t>
  </si>
  <si>
    <t>Panjang Tali</t>
  </si>
  <si>
    <t>cm</t>
  </si>
  <si>
    <t>perc Gravitasi</t>
  </si>
  <si>
    <t>cm/s^2</t>
  </si>
  <si>
    <t>interval Waktu</t>
  </si>
  <si>
    <t>s</t>
  </si>
  <si>
    <t>Kecepatan Sudut</t>
  </si>
  <si>
    <t>theta</t>
  </si>
  <si>
    <t>waktu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</si>
</sst>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101981651143963E-2"/>
          <c:y val="2.5663713558299363E-2"/>
          <c:w val="0.89732084709919335"/>
          <c:h val="0.89720533914144018"/>
        </c:manualLayout>
      </c:layout>
      <c:scatterChart>
        <c:scatterStyle val="smoothMarker"/>
        <c:varyColors val="0"/>
        <c:ser>
          <c:idx val="0"/>
          <c:order val="0"/>
          <c:tx>
            <c:v>Tali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Sheet1!$B$1:$B$2</c:f>
              <c:numCache>
                <c:formatCode>General</c:formatCode>
                <c:ptCount val="2"/>
                <c:pt idx="0">
                  <c:v>0</c:v>
                </c:pt>
                <c:pt idx="1">
                  <c:v>148.50172370835273</c:v>
                </c:pt>
              </c:numCache>
            </c:numRef>
          </c:xVal>
          <c:yVal>
            <c:numRef>
              <c:f>Sheet1!$C$1:$C$2</c:f>
              <c:numCache>
                <c:formatCode>General</c:formatCode>
                <c:ptCount val="2"/>
                <c:pt idx="0">
                  <c:v>0</c:v>
                </c:pt>
                <c:pt idx="1">
                  <c:v>-21.148003585399593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26-478C-840F-256EF98FE6B0}"/>
            </c:ext>
          </c:extLst>
        </c:ser>
        <c:ser>
          <c:idx val="1"/>
          <c:order val="1"/>
          <c:tx>
            <c:v>Bandul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6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</c:f>
              <c:numCache>
                <c:formatCode>General</c:formatCode>
                <c:ptCount val="1"/>
                <c:pt idx="0">
                  <c:v>148.50172370835273</c:v>
                </c:pt>
              </c:numCache>
            </c:numRef>
          </c:xVal>
          <c:yVal>
            <c:numRef>
              <c:f>Sheet1!$C$2</c:f>
              <c:numCache>
                <c:formatCode>General</c:formatCode>
                <c:ptCount val="1"/>
                <c:pt idx="0">
                  <c:v>-21.148003585399593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26-478C-840F-256EF98F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63808"/>
        <c:axId val="70759008"/>
      </c:scatterChart>
      <c:valAx>
        <c:axId val="70763808"/>
        <c:scaling>
          <c:orientation val="minMax"/>
          <c:max val="150"/>
          <c:min val="-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008"/>
        <c:crosses val="autoZero"/>
        <c:crossBetween val="midCat"/>
        <c:majorUnit val="50"/>
        <c:minorUnit val="10"/>
      </c:valAx>
      <c:valAx>
        <c:axId val="70759008"/>
        <c:scaling>
          <c:orientation val="minMax"/>
          <c:max val="0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3808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162644</xdr:colOff>
      <xdr:row>2</xdr:row>
      <xdr:rowOff>71887</xdr:rowOff>
    </xdr:from>
    <xdr:to>
      <xdr:col>12</xdr:col>
      <xdr:colOff>468881</xdr:colOff>
      <xdr:row>16</xdr:row>
      <xdr:rowOff>148088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13</xdr:row>
          <xdr:rowOff>28575</xdr:rowOff>
        </xdr:from>
        <xdr:to>
          <xdr:col>5</xdr:col>
          <xdr:colOff>85725</xdr:colOff>
          <xdr:row>17</xdr:row>
          <xdr:rowOff>47625</xdr:rowOff>
        </xdr:to>
        <xdr:sp macro="" textlink="">
          <xdr:nvSpPr>
            <xdr:cNvPr id="1025" name="tblMula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D1A06-1EBA-4CBB-B32C-4F5CF1678A07}">
  <sheetPr codeName="Sheet1"/>
  <dimension ref="A1:C12"/>
  <sheetViews>
    <sheetView tabSelected="1" zoomScale="106" workbookViewId="0">
      <selection activeCell="C9" sqref="C9"/>
    </sheetView>
  </sheetViews>
  <sheetFormatPr defaultRowHeight="15" x14ac:dyDescent="0.25"/>
  <cols>
    <col min="1" max="1" width="18" customWidth="1"/>
    <col min="3" max="3" width="12.7109375" bestFit="1" customWidth="1"/>
  </cols>
  <sheetData>
    <row r="1" spans="1:3" x14ac:dyDescent="0.25">
      <c r="A1" t="s">
        <v>0</v>
      </c>
      <c r="B1">
        <v>0</v>
      </c>
      <c r="C1">
        <v>0</v>
      </c>
    </row>
    <row r="2" spans="1:3" x14ac:dyDescent="0.25">
      <c r="A2" t="s">
        <v>1</v>
      </c>
      <c r="B2">
        <f>B1+(B5*SIN((B11)*PI()/180))</f>
        <v>148.50172370835273</v>
      </c>
      <c r="C2">
        <f>C1-(B5*COS((B11)*PI()/180))</f>
        <v>-21.148003585399593</v>
      </c>
    </row>
    <row r="4" spans="1:3" x14ac:dyDescent="0.25">
      <c r="A4" t="s">
        <v>2</v>
      </c>
      <c r="B4">
        <v>90</v>
      </c>
      <c r="C4" t="s">
        <v>3</v>
      </c>
    </row>
    <row r="5" spans="1:3" x14ac:dyDescent="0.25">
      <c r="A5" t="s">
        <v>4</v>
      </c>
      <c r="B5">
        <v>150</v>
      </c>
      <c r="C5" t="s">
        <v>5</v>
      </c>
    </row>
    <row r="6" spans="1:3" x14ac:dyDescent="0.25">
      <c r="A6" t="s">
        <v>6</v>
      </c>
      <c r="B6">
        <v>980</v>
      </c>
      <c r="C6" t="s">
        <v>7</v>
      </c>
    </row>
    <row r="7" spans="1:3" x14ac:dyDescent="0.25">
      <c r="A7" t="s">
        <v>8</v>
      </c>
      <c r="B7">
        <v>0.05</v>
      </c>
      <c r="C7" t="s">
        <v>9</v>
      </c>
    </row>
    <row r="10" spans="1:3" x14ac:dyDescent="0.25">
      <c r="A10" t="s">
        <v>10</v>
      </c>
      <c r="B10">
        <f>SQRT(B6/B5)</f>
        <v>2.556038601690775</v>
      </c>
    </row>
    <row r="11" spans="1:3" x14ac:dyDescent="0.25">
      <c r="A11" t="s">
        <v>11</v>
      </c>
      <c r="B11">
        <f>B4*COS(B10*B12)</f>
        <v>81.895054210101989</v>
      </c>
    </row>
    <row r="12" spans="1:3" x14ac:dyDescent="0.25">
      <c r="A12" t="s">
        <v>12</v>
      </c>
      <c r="B12">
        <v>10.000000000000007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blMulai">
          <controlPr defaultSize="0" autoLine="0" autoPict="0" r:id="rId4">
            <anchor moveWithCells="1">
              <from>
                <xdr:col>1</xdr:col>
                <xdr:colOff>581025</xdr:colOff>
                <xdr:row>13</xdr:row>
                <xdr:rowOff>28575</xdr:rowOff>
              </from>
              <to>
                <xdr:col>5</xdr:col>
                <xdr:colOff>85725</xdr:colOff>
                <xdr:row>17</xdr:row>
                <xdr:rowOff>47625</xdr:rowOff>
              </to>
            </anchor>
          </controlPr>
        </control>
      </mc:Choice>
      <mc:Fallback>
        <control shapeId="1025" r:id="rId3" name="tblMu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 moni</dc:creator>
  <cp:lastModifiedBy>User</cp:lastModifiedBy>
  <dcterms:created xsi:type="dcterms:W3CDTF">2025-03-10T08:13:38Z</dcterms:created>
  <dcterms:modified xsi:type="dcterms:W3CDTF">2025-04-03T11:20:22Z</dcterms:modified>
</cp:coreProperties>
</file>